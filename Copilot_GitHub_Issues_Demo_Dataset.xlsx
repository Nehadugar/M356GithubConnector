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Issues" sheetId="2" state="visible" r:id="rId2"/>
    <sheet name="Issue Updates" sheetId="3" state="visible" r:id="rId3"/>
    <sheet name="Demo Scenarios" sheetId="4" state="visible" r:id="rId4"/>
  </sheets>
  <definedNames>
    <definedName name="_xlnm.Print_Titles" localSheetId="1">'Issues'!$4:$4</definedName>
    <definedName name="_xlnm.Print_Titles" localSheetId="2">'Issue Updates'!$4:$4</definedName>
    <definedName name="_xlnm.Print_Titles" localSheetId="3">'Demo Scenarios'!$4:$4</definedName>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name val="Calibri"/>
      <b val="1"/>
      <color rgb="001F3864"/>
      <sz val="16"/>
    </font>
    <font>
      <name val="Calibri"/>
      <i val="1"/>
      <color rgb="00595959"/>
      <sz val="10"/>
    </font>
    <font>
      <name val="Calibri"/>
      <b val="1"/>
      <color rgb="00FFFFFF"/>
      <sz val="11"/>
    </font>
    <font>
      <name val="Calibri"/>
      <sz val="10"/>
    </font>
    <font>
      <name val="Calibri"/>
      <b val="1"/>
      <color rgb="003A3A3A"/>
      <sz val="10"/>
    </font>
    <font>
      <name val="Calibri"/>
      <b val="1"/>
      <color rgb="00006100"/>
      <sz val="10"/>
    </font>
    <font>
      <name val="Calibri"/>
      <color rgb="000563C1"/>
      <sz val="10"/>
      <u val="single"/>
    </font>
    <font>
      <name val="Calibri"/>
      <b val="1"/>
      <color rgb="001F3864"/>
      <sz val="12"/>
    </font>
    <font>
      <name val="Calibri"/>
      <b val="1"/>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8" fillId="0" borderId="0" pivotButton="0" quotePrefix="0" xfId="0"/>
    <xf numFmtId="0" fontId="9" fillId="0" borderId="0" pivotButton="0" quotePrefix="0" xfId="0"/>
    <xf numFmtId="0" fontId="4" fillId="0" borderId="0" applyAlignment="1" pivotButton="0" quotePrefix="0" xfId="0">
      <alignment horizontal="left"/>
    </xf>
    <xf numFmtId="0" fontId="3" fillId="2" borderId="1" applyAlignment="1" pivotButton="0" quotePrefix="0" xfId="0">
      <alignment horizontal="center"/>
    </xf>
    <xf numFmtId="0" fontId="4" fillId="0" borderId="1" pivotButton="0" quotePrefix="0" xfId="0"/>
    <xf numFmtId="0" fontId="0" fillId="0" borderId="1" applyAlignment="1" pivotButton="0" quotePrefix="0" xfId="0">
      <alignment horizontal="center"/>
    </xf>
    <xf numFmtId="0" fontId="4"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4" fillId="0" borderId="1" applyAlignment="1" pivotButton="0" quotePrefix="0" xfId="0">
      <alignment vertical="top" wrapText="1"/>
    </xf>
    <xf numFmtId="0" fontId="5" fillId="3" borderId="1" applyAlignment="1" pivotButton="0" quotePrefix="0" xfId="0">
      <alignment horizontal="center" vertical="top" wrapText="1"/>
    </xf>
    <xf numFmtId="164" fontId="4" fillId="0" borderId="1" applyAlignment="1" pivotButton="0" quotePrefix="0" xfId="0">
      <alignment horizontal="center" vertical="top" wrapText="1"/>
    </xf>
    <xf numFmtId="0" fontId="7" fillId="0" borderId="1" applyAlignment="1" pivotButton="0" quotePrefix="0" xfId="0">
      <alignment vertical="top" wrapText="1"/>
    </xf>
    <xf numFmtId="0" fontId="6" fillId="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tblIssues" displayName="tblIssues" ref="A4:L25" headerRowCount="1">
  <autoFilter ref="A4:L25"/>
  <tableColumns count="12">
    <tableColumn id="1" name="Issue #"/>
    <tableColumn id="2" name="Title"/>
    <tableColumn id="3" name="Description"/>
    <tableColumn id="4" name="Status"/>
    <tableColumn id="5" name="Category"/>
    <tableColumn id="6" name="Labels"/>
    <tableColumn id="7" name="Author"/>
    <tableColumn id="8" name="Created"/>
    <tableColumn id="9" name="Last Updated"/>
    <tableColumn id="10" name="Closed"/>
    <tableColumn id="11" name="URL"/>
    <tableColumn id="12" name="Used in Demo Scenarios"/>
  </tableColumns>
  <tableStyleInfo name="TableStyleLight1" showRowStripes="1"/>
</table>
</file>

<file path=xl/tables/table2.xml><?xml version="1.0" encoding="utf-8"?>
<table xmlns="http://schemas.openxmlformats.org/spreadsheetml/2006/main" id="2" name="tblUpdates" displayName="tblUpdates" ref="A4:H18" headerRowCount="1">
  <autoFilter ref="A4:H18"/>
  <tableColumns count="8">
    <tableColumn id="1" name="Issue #"/>
    <tableColumn id="2" name="Change Date"/>
    <tableColumn id="3" name="Change Type"/>
    <tableColumn id="4" name="Field"/>
    <tableColumn id="5" name="Previous Value"/>
    <tableColumn id="6" name="New Value"/>
    <tableColumn id="7" name="Changed By"/>
    <tableColumn id="8" name="Indexed by Connector?"/>
  </tableColumns>
  <tableStyleInfo name="TableStyleLight1" showRowStripes="1"/>
</table>
</file>

<file path=xl/tables/table3.xml><?xml version="1.0" encoding="utf-8"?>
<table xmlns="http://schemas.openxmlformats.org/spreadsheetml/2006/main" id="3" name="tblScenarios" displayName="tblScenarios" ref="A4:G20" headerRowCount="1">
  <autoFilter ref="A4:G20"/>
  <tableColumns count="7">
    <tableColumn id="1" name="ID"/>
    <tableColumn id="2" name="Scenario"/>
    <tableColumn id="3" name="Coverage"/>
    <tableColumn id="4" name="Presenter Steps"/>
    <tableColumn id="5" name="Sample Copilot Prompt"/>
    <tableColumn id="6" name="Expected Result"/>
    <tableColumn id="7" name="Related Issues"/>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hub.com/contoso-commerce/storefront-api/issues/101" TargetMode="External" Id="rId1" /><Relationship Type="http://schemas.openxmlformats.org/officeDocument/2006/relationships/hyperlink" Target="https://github.com/contoso-commerce/storefront-api/issues/102" TargetMode="External" Id="rId2" /><Relationship Type="http://schemas.openxmlformats.org/officeDocument/2006/relationships/hyperlink" Target="https://github.com/contoso-commerce/storefront-api/issues/103" TargetMode="External" Id="rId3" /><Relationship Type="http://schemas.openxmlformats.org/officeDocument/2006/relationships/hyperlink" Target="https://github.com/contoso-commerce/storefront-api/issues/104" TargetMode="External" Id="rId4" /><Relationship Type="http://schemas.openxmlformats.org/officeDocument/2006/relationships/hyperlink" Target="https://github.com/contoso-commerce/storefront-api/issues/105" TargetMode="External" Id="rId5" /><Relationship Type="http://schemas.openxmlformats.org/officeDocument/2006/relationships/hyperlink" Target="https://github.com/contoso-commerce/storefront-api/issues/106" TargetMode="External" Id="rId6" /><Relationship Type="http://schemas.openxmlformats.org/officeDocument/2006/relationships/hyperlink" Target="https://github.com/contoso-commerce/storefront-api/issues/107" TargetMode="External" Id="rId7" /><Relationship Type="http://schemas.openxmlformats.org/officeDocument/2006/relationships/hyperlink" Target="https://github.com/contoso-commerce/storefront-api/issues/108" TargetMode="External" Id="rId8" /><Relationship Type="http://schemas.openxmlformats.org/officeDocument/2006/relationships/hyperlink" Target="https://github.com/contoso-commerce/storefront-api/issues/109" TargetMode="External" Id="rId9" /><Relationship Type="http://schemas.openxmlformats.org/officeDocument/2006/relationships/hyperlink" Target="https://github.com/contoso-commerce/storefront-api/issues/110" TargetMode="External" Id="rId10" /><Relationship Type="http://schemas.openxmlformats.org/officeDocument/2006/relationships/hyperlink" Target="https://github.com/contoso-commerce/storefront-api/issues/111" TargetMode="External" Id="rId11" /><Relationship Type="http://schemas.openxmlformats.org/officeDocument/2006/relationships/hyperlink" Target="https://github.com/contoso-commerce/storefront-api/issues/112" TargetMode="External" Id="rId12" /><Relationship Type="http://schemas.openxmlformats.org/officeDocument/2006/relationships/hyperlink" Target="https://github.com/contoso-commerce/storefront-api/issues/113" TargetMode="External" Id="rId13" /><Relationship Type="http://schemas.openxmlformats.org/officeDocument/2006/relationships/hyperlink" Target="https://github.com/contoso-commerce/storefront-api/issues/114" TargetMode="External" Id="rId14" /><Relationship Type="http://schemas.openxmlformats.org/officeDocument/2006/relationships/hyperlink" Target="https://github.com/contoso-commerce/storefront-api/issues/115" TargetMode="External" Id="rId15" /><Relationship Type="http://schemas.openxmlformats.org/officeDocument/2006/relationships/hyperlink" Target="https://github.com/contoso-commerce/storefront-api/issues/116" TargetMode="External" Id="rId16" /><Relationship Type="http://schemas.openxmlformats.org/officeDocument/2006/relationships/hyperlink" Target="https://github.com/contoso-commerce/storefront-api/issues/117" TargetMode="External" Id="rId17" /><Relationship Type="http://schemas.openxmlformats.org/officeDocument/2006/relationships/hyperlink" Target="https://github.com/contoso-commerce/storefront-api/issues/118" TargetMode="External" Id="rId18" /><Relationship Type="http://schemas.openxmlformats.org/officeDocument/2006/relationships/hyperlink" Target="https://github.com/contoso-commerce/storefront-api/issues/119" TargetMode="External" Id="rId19" /><Relationship Type="http://schemas.openxmlformats.org/officeDocument/2006/relationships/hyperlink" Target="https://github.com/contoso-commerce/storefront-api/issues/120" TargetMode="External" Id="rId20" /><Relationship Type="http://schemas.openxmlformats.org/officeDocument/2006/relationships/hyperlink" Target="https://github.com/contoso-commerce/storefront-api/issues/121" TargetMode="External" Id="rId21" /><Relationship Type="http://schemas.openxmlformats.org/officeDocument/2006/relationships/table" Target="/xl/tables/table1.xml" Id="rId22"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tabColor rgb="007F7F7F"/>
    <outlinePr summaryBelow="1" summaryRight="1"/>
    <pageSetUpPr fitToPage="1"/>
  </sheetPr>
  <dimension ref="A1:D29"/>
  <sheetViews>
    <sheetView showGridLines="0" workbookViewId="0">
      <selection activeCell="A1" sqref="A1"/>
    </sheetView>
  </sheetViews>
  <sheetFormatPr baseColWidth="8" defaultRowHeight="15"/>
  <cols>
    <col width="30" customWidth="1" min="1" max="1"/>
    <col width="16" customWidth="1" min="2" max="2"/>
    <col width="16" customWidth="1" min="3" max="3"/>
    <col width="16" customWidth="1" min="4" max="4"/>
    <col width="70" customWidth="1" min="5" max="5"/>
  </cols>
  <sheetData>
    <row r="1" ht="26" customHeight="1">
      <c r="A1" s="1" t="inlineStr">
        <is>
          <t>GitHub Issues + Microsoft 365 Copilot: Demo Dataset</t>
        </is>
      </c>
    </row>
    <row r="2">
      <c r="A2" s="2" t="inlineStr">
        <is>
          <t>Fictional sample data for the Copilot connector client demo. Prepared 2026-10-13.</t>
        </is>
      </c>
    </row>
    <row r="4">
      <c r="A4" s="3" t="inlineStr">
        <is>
          <t>Dataset summary</t>
        </is>
      </c>
    </row>
    <row r="5">
      <c r="A5" s="4" t="inlineStr">
        <is>
          <t>Repository (fictional)</t>
        </is>
      </c>
      <c r="B5" s="5" t="inlineStr">
        <is>
          <t>contoso-commerce/storefront-api</t>
        </is>
      </c>
    </row>
    <row r="6">
      <c r="A6" s="4" t="inlineStr">
        <is>
          <t>Total issues</t>
        </is>
      </c>
      <c r="B6" s="5">
        <f>COUNTA(Issues!A5:A25)</f>
        <v/>
      </c>
    </row>
    <row r="7">
      <c r="A7" s="4" t="inlineStr">
        <is>
          <t>Open issues</t>
        </is>
      </c>
      <c r="B7" s="5">
        <f>COUNTIF(Issues!D5:D25,"open")</f>
        <v/>
      </c>
    </row>
    <row r="8">
      <c r="A8" s="4" t="inlineStr">
        <is>
          <t>Closed issues</t>
        </is>
      </c>
      <c r="B8" s="5">
        <f>COUNTIF(Issues!D5:D25,"closed")</f>
        <v/>
      </c>
    </row>
    <row r="9">
      <c r="A9" s="4" t="inlineStr">
        <is>
          <t>Pull requests</t>
        </is>
      </c>
      <c r="B9" s="5" t="inlineStr">
        <is>
          <t>0 (issues only; the connector excludes pull requests)</t>
        </is>
      </c>
    </row>
    <row r="10">
      <c r="A10" s="4" t="inlineStr">
        <is>
          <t>Data status</t>
        </is>
      </c>
      <c r="B10" s="5" t="inlineStr">
        <is>
          <t>Fictional. All names, handles, and content are invented.</t>
        </is>
      </c>
    </row>
    <row r="12">
      <c r="A12" s="3" t="inlineStr">
        <is>
          <t>Breakdown by category</t>
        </is>
      </c>
    </row>
    <row r="13">
      <c r="A13" s="6" t="inlineStr">
        <is>
          <t>Category</t>
        </is>
      </c>
      <c r="B13" s="6" t="inlineStr">
        <is>
          <t>Total</t>
        </is>
      </c>
      <c r="C13" s="6" t="inlineStr">
        <is>
          <t>Open</t>
        </is>
      </c>
      <c r="D13" s="6" t="inlineStr">
        <is>
          <t>Closed</t>
        </is>
      </c>
    </row>
    <row r="14">
      <c r="A14" s="7" t="inlineStr">
        <is>
          <t>Bug fix</t>
        </is>
      </c>
      <c r="B14" s="8">
        <f>COUNTIF(Issues!$E$5:$E$25,A14)</f>
        <v/>
      </c>
      <c r="C14" s="8">
        <f>COUNTIFS(Issues!$E$5:$E$25,A14,Issues!$D$5:$D$25,"open")</f>
        <v/>
      </c>
      <c r="D14" s="8">
        <f>COUNTIFS(Issues!$E$5:$E$25,A14,Issues!$D$5:$D$25,"closed")</f>
        <v/>
      </c>
    </row>
    <row r="15">
      <c r="A15" s="7" t="inlineStr">
        <is>
          <t>Feature request</t>
        </is>
      </c>
      <c r="B15" s="8">
        <f>COUNTIF(Issues!$E$5:$E$25,A15)</f>
        <v/>
      </c>
      <c r="C15" s="8">
        <f>COUNTIFS(Issues!$E$5:$E$25,A15,Issues!$D$5:$D$25,"open")</f>
        <v/>
      </c>
      <c r="D15" s="8">
        <f>COUNTIFS(Issues!$E$5:$E$25,A15,Issues!$D$5:$D$25,"closed")</f>
        <v/>
      </c>
    </row>
    <row r="16">
      <c r="A16" s="7" t="inlineStr">
        <is>
          <t>Security</t>
        </is>
      </c>
      <c r="B16" s="8">
        <f>COUNTIF(Issues!$E$5:$E$25,A16)</f>
        <v/>
      </c>
      <c r="C16" s="8">
        <f>COUNTIFS(Issues!$E$5:$E$25,A16,Issues!$D$5:$D$25,"open")</f>
        <v/>
      </c>
      <c r="D16" s="8">
        <f>COUNTIFS(Issues!$E$5:$E$25,A16,Issues!$D$5:$D$25,"closed")</f>
        <v/>
      </c>
    </row>
    <row r="17">
      <c r="A17" s="7" t="inlineStr">
        <is>
          <t>Performance</t>
        </is>
      </c>
      <c r="B17" s="8">
        <f>COUNTIF(Issues!$E$5:$E$25,A17)</f>
        <v/>
      </c>
      <c r="C17" s="8">
        <f>COUNTIFS(Issues!$E$5:$E$25,A17,Issues!$D$5:$D$25,"open")</f>
        <v/>
      </c>
      <c r="D17" s="8">
        <f>COUNTIFS(Issues!$E$5:$E$25,A17,Issues!$D$5:$D$25,"closed")</f>
        <v/>
      </c>
    </row>
    <row r="18">
      <c r="A18" s="7" t="inlineStr">
        <is>
          <t>Documentation</t>
        </is>
      </c>
      <c r="B18" s="8">
        <f>COUNTIF(Issues!$E$5:$E$25,A18)</f>
        <v/>
      </c>
      <c r="C18" s="8">
        <f>COUNTIFS(Issues!$E$5:$E$25,A18,Issues!$D$5:$D$25,"open")</f>
        <v/>
      </c>
      <c r="D18" s="8">
        <f>COUNTIFS(Issues!$E$5:$E$25,A18,Issues!$D$5:$D$25,"closed")</f>
        <v/>
      </c>
    </row>
    <row r="20">
      <c r="A20" s="3" t="inlineStr">
        <is>
          <t>Sheet guide</t>
        </is>
      </c>
    </row>
    <row r="21">
      <c r="A21" s="4" t="inlineStr">
        <is>
          <t>Issues</t>
        </is>
      </c>
      <c r="B21" s="9" t="inlineStr">
        <is>
          <t>21 sample issues with title, description, status, labels, author, dates, and URL. Matches the fields the connector indexes.</t>
        </is>
      </c>
    </row>
    <row r="22">
      <c r="A22" s="4" t="inlineStr">
        <is>
          <t>Issue Updates</t>
        </is>
      </c>
      <c r="B22" s="9" t="inlineStr">
        <is>
          <t>Change log showing how issues evolve (status, labels, title, description, comments) and which changes the connector indexes.</t>
        </is>
      </c>
    </row>
    <row r="23">
      <c r="A23" s="4" t="inlineStr">
        <is>
          <t>Demo Scenarios</t>
        </is>
      </c>
      <c r="B23" s="9" t="inlineStr">
        <is>
          <t>16 step-by-step scenarios with sample Copilot prompts, expected results, and related issues.</t>
        </is>
      </c>
    </row>
    <row r="25">
      <c r="A25" s="3" t="inlineStr">
        <is>
          <t>Connector notes</t>
        </is>
      </c>
    </row>
    <row r="26">
      <c r="A26" s="9" t="inlineStr">
        <is>
          <t>- Copilot only sees what the connector ingests: title, description, status, labels, author, last-updated time, and URL.</t>
        </is>
      </c>
    </row>
    <row r="27">
      <c r="A27" s="9" t="inlineStr">
        <is>
          <t>- Comments and change history are not indexed. For live demo updates, edit the issue description or change the status.</t>
        </is>
      </c>
    </row>
    <row r="28">
      <c r="A28" s="9" t="inlineStr">
        <is>
          <t>- Each run of 'python github_issues_connector.py all' re-sends the current state of every issue. Run it after live edits.</t>
        </is>
      </c>
    </row>
    <row r="29">
      <c r="A29" s="9" t="inlineStr">
        <is>
          <t>- This workbook is reference data. To make these issues searchable, create them in a test GitHub repository and sync the connector.</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1" summaryRight="1"/>
    <pageSetUpPr fitToPage="1"/>
  </sheetPr>
  <dimension ref="A1:L2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44" customWidth="1" min="2" max="2"/>
    <col width="72" customWidth="1" min="3" max="3"/>
    <col width="11" customWidth="1" min="4" max="4"/>
    <col width="16" customWidth="1" min="5" max="5"/>
    <col width="30" customWidth="1" min="6" max="6"/>
    <col width="16" customWidth="1" min="7" max="7"/>
    <col width="12" customWidth="1" min="8" max="8"/>
    <col width="13" customWidth="1" min="9" max="9"/>
    <col width="12" customWidth="1" min="10" max="10"/>
    <col width="56" customWidth="1" min="11" max="11"/>
    <col width="18" customWidth="1" min="12" max="12"/>
  </cols>
  <sheetData>
    <row r="1" ht="26" customHeight="1">
      <c r="A1" s="1" t="inlineStr">
        <is>
          <t>GitHub Issues - Sample Dataset</t>
        </is>
      </c>
    </row>
    <row r="2">
      <c r="A2" s="2" t="inlineStr">
        <is>
          <t>Repository: contoso-commerce/storefront-api (fictional). Open and closed issues only. Pull requests are excluded by the connector.</t>
        </is>
      </c>
    </row>
    <row r="4" ht="30" customHeight="1">
      <c r="A4" s="10" t="inlineStr">
        <is>
          <t>Issue #</t>
        </is>
      </c>
      <c r="B4" s="10" t="inlineStr">
        <is>
          <t>Title</t>
        </is>
      </c>
      <c r="C4" s="10" t="inlineStr">
        <is>
          <t>Description</t>
        </is>
      </c>
      <c r="D4" s="10" t="inlineStr">
        <is>
          <t>Status</t>
        </is>
      </c>
      <c r="E4" s="10" t="inlineStr">
        <is>
          <t>Category</t>
        </is>
      </c>
      <c r="F4" s="10" t="inlineStr">
        <is>
          <t>Labels</t>
        </is>
      </c>
      <c r="G4" s="10" t="inlineStr">
        <is>
          <t>Author</t>
        </is>
      </c>
      <c r="H4" s="10" t="inlineStr">
        <is>
          <t>Created</t>
        </is>
      </c>
      <c r="I4" s="10" t="inlineStr">
        <is>
          <t>Last Updated</t>
        </is>
      </c>
      <c r="J4" s="10" t="inlineStr">
        <is>
          <t>Closed</t>
        </is>
      </c>
      <c r="K4" s="10" t="inlineStr">
        <is>
          <t>URL</t>
        </is>
      </c>
      <c r="L4" s="10" t="inlineStr">
        <is>
          <t>Used in Demo Scenarios</t>
        </is>
      </c>
    </row>
    <row r="5" ht="60" customHeight="1">
      <c r="A5" s="11" t="n">
        <v>101</v>
      </c>
      <c r="B5" s="12" t="inlineStr">
        <is>
          <t>Checkout tax calculated on pre-discount subtotal when coupon applied</t>
        </is>
      </c>
      <c r="C5" s="12" t="inlineStr">
        <is>
          <t>When a percentage coupon is applied at checkout, sales tax is calculated on the pre-discount subtotal ($120.00) instead of the discounted subtotal ($102.00). Customers were shown $10.80 in tax instead of $9.18. Fixed by calculating tax after discounts are applied and adding tax regression tests.</t>
        </is>
      </c>
      <c r="D5" s="13" t="inlineStr">
        <is>
          <t>closed</t>
        </is>
      </c>
      <c r="E5" s="12" t="inlineStr">
        <is>
          <t>Bug fix</t>
        </is>
      </c>
      <c r="F5" s="12" t="inlineStr">
        <is>
          <t>bug, checkout, priority-high</t>
        </is>
      </c>
      <c r="G5" s="12" t="inlineStr">
        <is>
          <t>dana-kwon</t>
        </is>
      </c>
      <c r="H5" s="14" t="n">
        <v>46071</v>
      </c>
      <c r="I5" s="14" t="n">
        <v>46085</v>
      </c>
      <c r="J5" s="14" t="n">
        <v>46085</v>
      </c>
      <c r="K5" s="15" t="inlineStr">
        <is>
          <t>https://github.com/contoso-commerce/storefront-api/issues/101</t>
        </is>
      </c>
      <c r="L5" s="12" t="inlineStr">
        <is>
          <t>DS-01</t>
        </is>
      </c>
    </row>
    <row r="6" ht="60" customHeight="1">
      <c r="A6" s="11" t="n">
        <v>102</v>
      </c>
      <c r="B6" s="12" t="inlineStr">
        <is>
          <t>Export to CSV truncates product names with non-ASCII characters</t>
        </is>
      </c>
      <c r="C6" s="12" t="inlineStr">
        <is>
          <t>Product names with accented characters (for example, 'Crème brûlée kit') are cut off at the first non-ASCII character in admin CSV exports. Reproduced on Windows and macOS. Root cause: the export writer uses the default encoding. Proposed fix: write UTF-8 with a BOM so spreadsheet tools open the file correctly.</t>
        </is>
      </c>
      <c r="D6" s="16" t="inlineStr">
        <is>
          <t>open</t>
        </is>
      </c>
      <c r="E6" s="12" t="inlineStr">
        <is>
          <t>Bug fix</t>
        </is>
      </c>
      <c r="F6" s="12" t="inlineStr">
        <is>
          <t>bug, reports, needs-triage</t>
        </is>
      </c>
      <c r="G6" s="12" t="inlineStr">
        <is>
          <t>ravi-s</t>
        </is>
      </c>
      <c r="H6" s="14" t="n">
        <v>46255</v>
      </c>
      <c r="I6" s="14" t="n">
        <v>46297</v>
      </c>
      <c r="J6" s="11" t="n"/>
      <c r="K6" s="15" t="inlineStr">
        <is>
          <t>https://github.com/contoso-commerce/storefront-api/issues/102</t>
        </is>
      </c>
      <c r="L6" s="12" t="inlineStr">
        <is>
          <t>DS-02</t>
        </is>
      </c>
    </row>
    <row r="7" ht="60" customHeight="1">
      <c r="A7" s="11" t="n">
        <v>103</v>
      </c>
      <c r="B7" s="12" t="inlineStr">
        <is>
          <t>Login loop on Safari 17 after access token refresh</t>
        </is>
      </c>
      <c r="C7" s="12" t="inlineStr">
        <is>
          <t>On Safari 17.x, after the access token expires the refresh call succeeds, but the browser keeps redirecting to /login. Clearing cookies is a temporary workaround. Cause: the session cookie was SameSite=Strict and was not sent on the cross-site redirect back to the app. Fixed by changing it to SameSite=Lax.</t>
        </is>
      </c>
      <c r="D7" s="13" t="inlineStr">
        <is>
          <t>closed</t>
        </is>
      </c>
      <c r="E7" s="12" t="inlineStr">
        <is>
          <t>Bug fix</t>
        </is>
      </c>
      <c r="F7" s="12" t="inlineStr">
        <is>
          <t>bug, auth, browser-safari</t>
        </is>
      </c>
      <c r="G7" s="12" t="inlineStr">
        <is>
          <t>lena-fischer</t>
        </is>
      </c>
      <c r="H7" s="14" t="n">
        <v>46140</v>
      </c>
      <c r="I7" s="14" t="n">
        <v>46154</v>
      </c>
      <c r="J7" s="14" t="n">
        <v>46154</v>
      </c>
      <c r="K7" s="15" t="inlineStr">
        <is>
          <t>https://github.com/contoso-commerce/storefront-api/issues/103</t>
        </is>
      </c>
      <c r="L7" s="12" t="inlineStr">
        <is>
          <t>DS-13</t>
        </is>
      </c>
    </row>
    <row r="8" ht="46.5" customHeight="1">
      <c r="A8" s="11" t="n">
        <v>104</v>
      </c>
      <c r="B8" s="12" t="inlineStr">
        <is>
          <t>Order confirmation emails show wrong time zone for Newfoundland customers</t>
        </is>
      </c>
      <c r="C8" s="12" t="inlineStr">
        <is>
          <t>Confirmation emails show estimated delivery times with the wrong offset for customers in Newfoundland (UTC-3:30). Time zone is now resolved from the stored customer region instead of the postal code prefix.</t>
        </is>
      </c>
      <c r="D8" s="13" t="inlineStr">
        <is>
          <t>closed</t>
        </is>
      </c>
      <c r="E8" s="12" t="inlineStr">
        <is>
          <t>Bug fix</t>
        </is>
      </c>
      <c r="F8" s="12" t="inlineStr">
        <is>
          <t>bug, notifications, i18n</t>
        </is>
      </c>
      <c r="G8" s="12" t="inlineStr">
        <is>
          <t>priyanka-m</t>
        </is>
      </c>
      <c r="H8" s="14" t="n">
        <v>46183</v>
      </c>
      <c r="I8" s="14" t="n">
        <v>46192</v>
      </c>
      <c r="J8" s="14" t="n">
        <v>46192</v>
      </c>
      <c r="K8" s="15" t="inlineStr">
        <is>
          <t>https://github.com/contoso-commerce/storefront-api/issues/104</t>
        </is>
      </c>
      <c r="L8" s="12" t="inlineStr">
        <is>
          <t>DS-12</t>
        </is>
      </c>
    </row>
    <row r="9" ht="60" customHeight="1">
      <c r="A9" s="11" t="n">
        <v>105</v>
      </c>
      <c r="B9" s="12" t="inlineStr">
        <is>
          <t>Cart badge count does not update after removing the last item</t>
        </is>
      </c>
      <c r="C9" s="12" t="inlineStr">
        <is>
          <t>After removing the last item from the cart, the header badge still shows 1 until the page is refreshed. Expected: the badge hides when the cart is empty. Starting point: the cart state store does not emit an update when the item count reaches zero.</t>
        </is>
      </c>
      <c r="D9" s="16" t="inlineStr">
        <is>
          <t>open</t>
        </is>
      </c>
      <c r="E9" s="12" t="inlineStr">
        <is>
          <t>Bug fix</t>
        </is>
      </c>
      <c r="F9" s="12" t="inlineStr">
        <is>
          <t>bug, frontend, good-first-issue</t>
        </is>
      </c>
      <c r="G9" s="12" t="inlineStr">
        <is>
          <t>tomas-r</t>
        </is>
      </c>
      <c r="H9" s="14" t="n">
        <v>46295</v>
      </c>
      <c r="I9" s="14" t="n">
        <v>46303</v>
      </c>
      <c r="J9" s="11" t="n"/>
      <c r="K9" s="15" t="inlineStr">
        <is>
          <t>https://github.com/contoso-commerce/storefront-api/issues/105</t>
        </is>
      </c>
      <c r="L9" s="12" t="inlineStr">
        <is>
          <t>DS-09, DS-11</t>
        </is>
      </c>
    </row>
    <row r="10" ht="46.5" customHeight="1">
      <c r="A10" s="11" t="n">
        <v>106</v>
      </c>
      <c r="B10" s="12" t="inlineStr">
        <is>
          <t>Refund API returns HTTP 500 when payment provider reference is null</t>
        </is>
      </c>
      <c r="C10" s="12" t="inlineStr">
        <is>
          <t>POST /v1/refunds fails with HTTP 500 when the original payment has no provider reference, for example orders imported from the legacy system. The hotfix returns HTTP 422 with a clear message and skips the provider call. Released in 3.1.2.</t>
        </is>
      </c>
      <c r="D10" s="13" t="inlineStr">
        <is>
          <t>closed</t>
        </is>
      </c>
      <c r="E10" s="12" t="inlineStr">
        <is>
          <t>Bug fix</t>
        </is>
      </c>
      <c r="F10" s="12" t="inlineStr">
        <is>
          <t>bug, payments, hotfix</t>
        </is>
      </c>
      <c r="G10" s="12" t="inlineStr">
        <is>
          <t>ben-okafor</t>
        </is>
      </c>
      <c r="H10" s="14" t="n">
        <v>46204</v>
      </c>
      <c r="I10" s="14" t="n">
        <v>46206</v>
      </c>
      <c r="J10" s="14" t="n">
        <v>46206</v>
      </c>
      <c r="K10" s="15" t="inlineStr">
        <is>
          <t>https://github.com/contoso-commerce/storefront-api/issues/106</t>
        </is>
      </c>
      <c r="L10" s="12" t="inlineStr">
        <is>
          <t>Background</t>
        </is>
      </c>
    </row>
    <row r="11" ht="60" customHeight="1">
      <c r="A11" s="11" t="n">
        <v>107</v>
      </c>
      <c r="B11" s="12" t="inlineStr">
        <is>
          <t>Add bulk cancel for pending orders in the admin console</t>
        </is>
      </c>
      <c r="C11" s="12" t="inlineStr">
        <is>
          <t>Fulfilment staff currently cancel pending orders one at a time during supplier outages. Add the ability to select multiple pending orders and cancel them in one action, with a required reason code from a fixed list. Each cancelled order must create an audit log entry.</t>
        </is>
      </c>
      <c r="D11" s="16" t="inlineStr">
        <is>
          <t>open</t>
        </is>
      </c>
      <c r="E11" s="12" t="inlineStr">
        <is>
          <t>Feature request</t>
        </is>
      </c>
      <c r="F11" s="12" t="inlineStr">
        <is>
          <t>enhancement, admin, needs-design</t>
        </is>
      </c>
      <c r="G11" s="12" t="inlineStr">
        <is>
          <t>mchen-dev</t>
        </is>
      </c>
      <c r="H11" s="14" t="n">
        <v>46217</v>
      </c>
      <c r="I11" s="14" t="n">
        <v>46304</v>
      </c>
      <c r="J11" s="11" t="n"/>
      <c r="K11" s="15" t="inlineStr">
        <is>
          <t>https://github.com/contoso-commerce/storefront-api/issues/107</t>
        </is>
      </c>
      <c r="L11" s="12" t="inlineStr">
        <is>
          <t>DS-03</t>
        </is>
      </c>
    </row>
    <row r="12" ht="46.5" customHeight="1">
      <c r="A12" s="11" t="n">
        <v>108</v>
      </c>
      <c r="B12" s="12" t="inlineStr">
        <is>
          <t>Add dark mode to the merchant dashboard</t>
        </is>
      </c>
      <c r="C12" s="12" t="inlineStr">
        <is>
          <t>Merchants have asked for a dark theme for the dashboard and reports pages. Colour tokens should come from the existing design system, and contrast must meet WCAG 2.2 AA. Storefront pages are out of scope for this quarter.</t>
        </is>
      </c>
      <c r="D12" s="16" t="inlineStr">
        <is>
          <t>open</t>
        </is>
      </c>
      <c r="E12" s="12" t="inlineStr">
        <is>
          <t>Feature request</t>
        </is>
      </c>
      <c r="F12" s="12" t="inlineStr">
        <is>
          <t>enhancement, ui, merchant-experience</t>
        </is>
      </c>
      <c r="G12" s="12" t="inlineStr">
        <is>
          <t>aisha-k</t>
        </is>
      </c>
      <c r="H12" s="14" t="n">
        <v>46056</v>
      </c>
      <c r="I12" s="14" t="n">
        <v>46056</v>
      </c>
      <c r="J12" s="11" t="n"/>
      <c r="K12" s="15" t="inlineStr">
        <is>
          <t>https://github.com/contoso-commerce/storefront-api/issues/108</t>
        </is>
      </c>
      <c r="L12" s="12" t="inlineStr">
        <is>
          <t>DS-03</t>
        </is>
      </c>
    </row>
    <row r="13" ht="46.5" customHeight="1">
      <c r="A13" s="11" t="n">
        <v>109</v>
      </c>
      <c r="B13" s="12" t="inlineStr">
        <is>
          <t>Add webhook delivery retries with exponential backoff</t>
        </is>
      </c>
      <c r="C13" s="12" t="inlineStr">
        <is>
          <t>Webhook deliveries currently fail permanently after a single attempt. Add up to 6 retries over 24 hours with exponential backoff, plus a dead-letter log visible in the admin console. Shipped in version 2.4.0.</t>
        </is>
      </c>
      <c r="D13" s="13" t="inlineStr">
        <is>
          <t>closed</t>
        </is>
      </c>
      <c r="E13" s="12" t="inlineStr">
        <is>
          <t>Feature request</t>
        </is>
      </c>
      <c r="F13" s="12" t="inlineStr">
        <is>
          <t>enhancement, integrations, released-2.4</t>
        </is>
      </c>
      <c r="G13" s="12" t="inlineStr">
        <is>
          <t>sam-whitfield</t>
        </is>
      </c>
      <c r="H13" s="14" t="n">
        <v>46037</v>
      </c>
      <c r="I13" s="14" t="n">
        <v>46114</v>
      </c>
      <c r="J13" s="14" t="n">
        <v>46114</v>
      </c>
      <c r="K13" s="15" t="inlineStr">
        <is>
          <t>https://github.com/contoso-commerce/storefront-api/issues/109</t>
        </is>
      </c>
      <c r="L13" s="12" t="inlineStr">
        <is>
          <t>DS-08, DS-14</t>
        </is>
      </c>
    </row>
    <row r="14" ht="46.5" customHeight="1">
      <c r="A14" s="11" t="n">
        <v>110</v>
      </c>
      <c r="B14" s="12" t="inlineStr">
        <is>
          <t>Let customers save multiple shipping addresses</t>
        </is>
      </c>
      <c r="C14" s="12" t="inlineStr">
        <is>
          <t>Customers re-enter their address at every checkout. Proposal: an address book with default shipping and billing addresses, up to 10 saved addresses per account. Address validation should reuse the existing postal service integration.</t>
        </is>
      </c>
      <c r="D14" s="16" t="inlineStr">
        <is>
          <t>open</t>
        </is>
      </c>
      <c r="E14" s="12" t="inlineStr">
        <is>
          <t>Feature request</t>
        </is>
      </c>
      <c r="F14" s="12" t="inlineStr">
        <is>
          <t>enhancement, customer-experience</t>
        </is>
      </c>
      <c r="G14" s="12" t="inlineStr">
        <is>
          <t>dana-kwon</t>
        </is>
      </c>
      <c r="H14" s="14" t="n">
        <v>46239</v>
      </c>
      <c r="I14" s="14" t="n">
        <v>46239</v>
      </c>
      <c r="J14" s="11" t="n"/>
      <c r="K14" s="15" t="inlineStr">
        <is>
          <t>https://github.com/contoso-commerce/storefront-api/issues/110</t>
        </is>
      </c>
      <c r="L14" s="12" t="inlineStr">
        <is>
          <t>Background</t>
        </is>
      </c>
    </row>
    <row r="15" ht="46.5" customHeight="1">
      <c r="A15" s="11" t="n">
        <v>111</v>
      </c>
      <c r="B15" s="12" t="inlineStr">
        <is>
          <t>Add GraphQL endpoint for product catalog reads</t>
        </is>
      </c>
      <c r="C15" s="12" t="inlineStr">
        <is>
          <t>Partner integrations want a read-only GraphQL endpoint for catalog data to reduce over-fetching. Status: under discussion. REST remains the primary API, and no commitment has been made.</t>
        </is>
      </c>
      <c r="D15" s="16" t="inlineStr">
        <is>
          <t>open</t>
        </is>
      </c>
      <c r="E15" s="12" t="inlineStr">
        <is>
          <t>Feature request</t>
        </is>
      </c>
      <c r="F15" s="12" t="inlineStr">
        <is>
          <t>enhancement, api, discussion</t>
        </is>
      </c>
      <c r="G15" s="12" t="inlineStr">
        <is>
          <t>ravi-s</t>
        </is>
      </c>
      <c r="H15" s="14" t="n">
        <v>46296</v>
      </c>
      <c r="I15" s="14" t="n">
        <v>46296</v>
      </c>
      <c r="J15" s="11" t="n"/>
      <c r="K15" s="15" t="inlineStr">
        <is>
          <t>https://github.com/contoso-commerce/storefront-api/issues/111</t>
        </is>
      </c>
      <c r="L15" s="12" t="inlineStr">
        <is>
          <t>Background</t>
        </is>
      </c>
    </row>
    <row r="16" ht="60" customHeight="1">
      <c r="A16" s="11" t="n">
        <v>112</v>
      </c>
      <c r="B16" s="12" t="inlineStr">
        <is>
          <t>Stored XSS in product review markdown renderer</t>
        </is>
      </c>
      <c r="C16" s="12" t="inlineStr">
        <is>
          <t>The markdown renderer for product reviews allowed script content to pass through the sanitizer. Fixed by upgrading the sanitizer and adding regression tests for the affected patterns. Access logs show no evidence of exploitation. Reported through the private security advisory process.</t>
        </is>
      </c>
      <c r="D16" s="13" t="inlineStr">
        <is>
          <t>closed</t>
        </is>
      </c>
      <c r="E16" s="12" t="inlineStr">
        <is>
          <t>Security</t>
        </is>
      </c>
      <c r="F16" s="12" t="inlineStr">
        <is>
          <t>security, severity-high, hotfix</t>
        </is>
      </c>
      <c r="G16" s="12" t="inlineStr">
        <is>
          <t>lena-fischer</t>
        </is>
      </c>
      <c r="H16" s="14" t="n">
        <v>46099</v>
      </c>
      <c r="I16" s="14" t="n">
        <v>46101</v>
      </c>
      <c r="J16" s="14" t="n">
        <v>46101</v>
      </c>
      <c r="K16" s="15" t="inlineStr">
        <is>
          <t>https://github.com/contoso-commerce/storefront-api/issues/112</t>
        </is>
      </c>
      <c r="L16" s="12" t="inlineStr">
        <is>
          <t>DS-05, DS-16</t>
        </is>
      </c>
    </row>
    <row r="17" ht="60" customHeight="1">
      <c r="A17" s="11" t="n">
        <v>113</v>
      </c>
      <c r="B17" s="12" t="inlineStr">
        <is>
          <t>Rotate staging payment sandbox key found in CI build logs</t>
        </is>
      </c>
      <c r="C17" s="12" t="inlineStr">
        <is>
          <t>A staging payment sandbox key was printed in CI logs by a debug step in the deploy pipeline. Key revoked; rotation and log redaction pending. Remaining work: issue a new key in the secrets store, remove the debug step, and scan recent logs for other exposed secrets.</t>
        </is>
      </c>
      <c r="D17" s="16" t="inlineStr">
        <is>
          <t>open</t>
        </is>
      </c>
      <c r="E17" s="12" t="inlineStr">
        <is>
          <t>Security</t>
        </is>
      </c>
      <c r="F17" s="12" t="inlineStr">
        <is>
          <t>security, severity-critical, ops</t>
        </is>
      </c>
      <c r="G17" s="12" t="inlineStr">
        <is>
          <t>mchen-dev</t>
        </is>
      </c>
      <c r="H17" s="14" t="n">
        <v>46305</v>
      </c>
      <c r="I17" s="14" t="n">
        <v>46306</v>
      </c>
      <c r="J17" s="11" t="n"/>
      <c r="K17" s="15" t="inlineStr">
        <is>
          <t>https://github.com/contoso-commerce/storefront-api/issues/113</t>
        </is>
      </c>
      <c r="L17" s="12" t="inlineStr">
        <is>
          <t>DS-04, DS-16</t>
        </is>
      </c>
    </row>
    <row r="18" ht="46.5" customHeight="1">
      <c r="A18" s="11" t="n">
        <v>114</v>
      </c>
      <c r="B18" s="12" t="inlineStr">
        <is>
          <t>No rate limit on password reset endpoint</t>
        </is>
      </c>
      <c r="C18" s="12" t="inlineStr">
        <is>
          <t>POST /auth/password-reset has no per-account or per-IP limit, so reset emails can be flooded. Proposal: 5 requests per account per hour and 30 per IP per hour. Open question: wording of the lockout message shown to users.</t>
        </is>
      </c>
      <c r="D18" s="16" t="inlineStr">
        <is>
          <t>open</t>
        </is>
      </c>
      <c r="E18" s="12" t="inlineStr">
        <is>
          <t>Security</t>
        </is>
      </c>
      <c r="F18" s="12" t="inlineStr">
        <is>
          <t>security, auth, severity-medium</t>
        </is>
      </c>
      <c r="G18" s="12" t="inlineStr">
        <is>
          <t>tomas-r</t>
        </is>
      </c>
      <c r="H18" s="14" t="n">
        <v>46277</v>
      </c>
      <c r="I18" s="14" t="n">
        <v>46277</v>
      </c>
      <c r="J18" s="11" t="n"/>
      <c r="K18" s="15" t="inlineStr">
        <is>
          <t>https://github.com/contoso-commerce/storefront-api/issues/114</t>
        </is>
      </c>
      <c r="L18" s="12" t="inlineStr">
        <is>
          <t>DS-04, DS-10, DS-16</t>
        </is>
      </c>
    </row>
    <row r="19" ht="46.5" customHeight="1">
      <c r="A19" s="11" t="n">
        <v>115</v>
      </c>
      <c r="B19" s="12" t="inlineStr">
        <is>
          <t>Upgrade lodash to 4.17.21 or later to fix prototype pollution advisory</t>
        </is>
      </c>
      <c r="C19" s="12" t="inlineStr">
        <is>
          <t>Dependency scanning flagged a prototype pollution advisory in lodash versions before 4.17.21. Upgraded to 4.17.21 across the storefront and admin services. Reviewed the affected code path and confirmed it is not reachable from user input.</t>
        </is>
      </c>
      <c r="D19" s="13" t="inlineStr">
        <is>
          <t>closed</t>
        </is>
      </c>
      <c r="E19" s="12" t="inlineStr">
        <is>
          <t>Security</t>
        </is>
      </c>
      <c r="F19" s="12" t="inlineStr">
        <is>
          <t>security, dependencies</t>
        </is>
      </c>
      <c r="G19" s="12" t="inlineStr">
        <is>
          <t>ben-okafor</t>
        </is>
      </c>
      <c r="H19" s="14" t="n">
        <v>46144</v>
      </c>
      <c r="I19" s="14" t="n">
        <v>46145</v>
      </c>
      <c r="J19" s="14" t="n">
        <v>46145</v>
      </c>
      <c r="K19" s="15" t="inlineStr">
        <is>
          <t>https://github.com/contoso-commerce/storefront-api/issues/115</t>
        </is>
      </c>
      <c r="L19" s="12" t="inlineStr">
        <is>
          <t>DS-16</t>
        </is>
      </c>
    </row>
    <row r="20" ht="60" customHeight="1">
      <c r="A20" s="11" t="n">
        <v>116</v>
      </c>
      <c r="B20" s="12" t="inlineStr">
        <is>
          <t>Order history page takes over 6 seconds for accounts with more than 5,000 orders</t>
        </is>
      </c>
      <c r="C20" s="12" t="inlineStr">
        <is>
          <t>p95 latency for /account/orders is about 6.2 seconds for accounts with more than 5,000 orders. The query joins line items for every order before pagination. Proposal: keyset pagination and a summary projection for the list view. Target: p95 under 1 second.</t>
        </is>
      </c>
      <c r="D20" s="16" t="inlineStr">
        <is>
          <t>open</t>
        </is>
      </c>
      <c r="E20" s="12" t="inlineStr">
        <is>
          <t>Performance</t>
        </is>
      </c>
      <c r="F20" s="12" t="inlineStr">
        <is>
          <t>performance, p95-latency, customer-experience</t>
        </is>
      </c>
      <c r="G20" s="12" t="inlineStr">
        <is>
          <t>priyanka-m</t>
        </is>
      </c>
      <c r="H20" s="14" t="n">
        <v>46195</v>
      </c>
      <c r="I20" s="14" t="n">
        <v>46283</v>
      </c>
      <c r="J20" s="11" t="n"/>
      <c r="K20" s="15" t="inlineStr">
        <is>
          <t>https://github.com/contoso-commerce/storefront-api/issues/116</t>
        </is>
      </c>
      <c r="L20" s="12" t="inlineStr">
        <is>
          <t>DS-06, DS-12</t>
        </is>
      </c>
    </row>
    <row r="21" ht="46.5" customHeight="1">
      <c r="A21" s="11" t="n">
        <v>117</v>
      </c>
      <c r="B21" s="12" t="inlineStr">
        <is>
          <t>N+1 queries in nightly inventory sync job</t>
        </is>
      </c>
      <c r="C21" s="12" t="inlineStr">
        <is>
          <t>The inventory sync loaded supplier prices with one query per SKU. Lookups are now batched into 500-SKU chunks. In staging, job runtime dropped from 74 minutes to 11 minutes.</t>
        </is>
      </c>
      <c r="D21" s="13" t="inlineStr">
        <is>
          <t>closed</t>
        </is>
      </c>
      <c r="E21" s="12" t="inlineStr">
        <is>
          <t>Performance</t>
        </is>
      </c>
      <c r="F21" s="12" t="inlineStr">
        <is>
          <t>performance, batch-jobs</t>
        </is>
      </c>
      <c r="G21" s="12" t="inlineStr">
        <is>
          <t>sam-whitfield</t>
        </is>
      </c>
      <c r="H21" s="14" t="n">
        <v>46120</v>
      </c>
      <c r="I21" s="14" t="n">
        <v>46136</v>
      </c>
      <c r="J21" s="14" t="n">
        <v>46136</v>
      </c>
      <c r="K21" s="15" t="inlineStr">
        <is>
          <t>https://github.com/contoso-commerce/storefront-api/issues/117</t>
        </is>
      </c>
      <c r="L21" s="12" t="inlineStr">
        <is>
          <t>DS-07, DS-08</t>
        </is>
      </c>
    </row>
    <row r="22" ht="46.5" customHeight="1">
      <c r="A22" s="11" t="n">
        <v>118</v>
      </c>
      <c r="B22" s="12" t="inlineStr">
        <is>
          <t>Full search index rebuild exceeds the 30-minute maintenance window</t>
        </is>
      </c>
      <c r="C22" s="12" t="inlineStr">
        <is>
          <t>A full reindex of 1.8 million products takes about 34 minutes on the current search tier, which exceeds the Sunday maintenance window. Options: incremental indexing for price and stock changes, or a larger indexing worker.</t>
        </is>
      </c>
      <c r="D22" s="16" t="inlineStr">
        <is>
          <t>open</t>
        </is>
      </c>
      <c r="E22" s="12" t="inlineStr">
        <is>
          <t>Performance</t>
        </is>
      </c>
      <c r="F22" s="12" t="inlineStr">
        <is>
          <t>performance, search, ops</t>
        </is>
      </c>
      <c r="G22" s="12" t="inlineStr">
        <is>
          <t>aisha-k</t>
        </is>
      </c>
      <c r="H22" s="14" t="n">
        <v>46267</v>
      </c>
      <c r="I22" s="14" t="n">
        <v>46301</v>
      </c>
      <c r="J22" s="11" t="n"/>
      <c r="K22" s="15" t="inlineStr">
        <is>
          <t>https://github.com/contoso-commerce/storefront-api/issues/118</t>
        </is>
      </c>
      <c r="L22" s="12" t="inlineStr">
        <is>
          <t>DS-06</t>
        </is>
      </c>
    </row>
    <row r="23" ht="46.5" customHeight="1">
      <c r="A23" s="11" t="n">
        <v>119</v>
      </c>
      <c r="B23" s="12" t="inlineStr">
        <is>
          <t>Product thumbnails not cached at CDN edge in EU region</t>
        </is>
      </c>
      <c r="C23" s="12" t="inlineStr">
        <is>
          <t>Resized thumbnails served from the EU origin were missing Cache-Control headers, causing repeated origin fetches. Headers were corrected, and the CDN cache hit ratio rose from 41% to 93%.</t>
        </is>
      </c>
      <c r="D23" s="13" t="inlineStr">
        <is>
          <t>closed</t>
        </is>
      </c>
      <c r="E23" s="12" t="inlineStr">
        <is>
          <t>Performance</t>
        </is>
      </c>
      <c r="F23" s="12" t="inlineStr">
        <is>
          <t>performance, cdn, eu-region</t>
        </is>
      </c>
      <c r="G23" s="12" t="inlineStr">
        <is>
          <t>lena-fischer</t>
        </is>
      </c>
      <c r="H23" s="14" t="n">
        <v>46108</v>
      </c>
      <c r="I23" s="14" t="n">
        <v>46121</v>
      </c>
      <c r="J23" s="14" t="n">
        <v>46121</v>
      </c>
      <c r="K23" s="15" t="inlineStr">
        <is>
          <t>https://github.com/contoso-commerce/storefront-api/issues/119</t>
        </is>
      </c>
      <c r="L23" s="12" t="inlineStr">
        <is>
          <t>DS-08</t>
        </is>
      </c>
    </row>
    <row r="24" ht="33" customHeight="1">
      <c r="A24" s="11" t="n">
        <v>120</v>
      </c>
      <c r="B24" s="12" t="inlineStr">
        <is>
          <t>Document webhook signature verification with code examples</t>
        </is>
      </c>
      <c r="C24" s="12" t="inlineStr">
        <is>
          <t>Partners keep asking how to verify the HMAC signature header on webhook deliveries. Add Python and Node.js examples and a table of signature error codes.</t>
        </is>
      </c>
      <c r="D24" s="16" t="inlineStr">
        <is>
          <t>open</t>
        </is>
      </c>
      <c r="E24" s="12" t="inlineStr">
        <is>
          <t>Documentation</t>
        </is>
      </c>
      <c r="F24" s="12" t="inlineStr">
        <is>
          <t>documentation, good-first-issue</t>
        </is>
      </c>
      <c r="G24" s="12" t="inlineStr">
        <is>
          <t>ravi-s</t>
        </is>
      </c>
      <c r="H24" s="14" t="n">
        <v>46262</v>
      </c>
      <c r="I24" s="14" t="n">
        <v>46262</v>
      </c>
      <c r="J24" s="11" t="n"/>
      <c r="K24" s="15" t="inlineStr">
        <is>
          <t>https://github.com/contoso-commerce/storefront-api/issues/120</t>
        </is>
      </c>
      <c r="L24" s="12" t="inlineStr">
        <is>
          <t>DS-09</t>
        </is>
      </c>
    </row>
    <row r="25" ht="33" customHeight="1">
      <c r="A25" s="11" t="n">
        <v>121</v>
      </c>
      <c r="B25" s="12" t="inlineStr">
        <is>
          <t>Update local development setup guide for Apple Silicon</t>
        </is>
      </c>
      <c r="C25" s="12" t="inlineStr">
        <is>
          <t>The setup guide assumed Intel-based Docker images. Updated instructions for Apple Silicon, including the platform flag for the database container.</t>
        </is>
      </c>
      <c r="D25" s="13" t="inlineStr">
        <is>
          <t>closed</t>
        </is>
      </c>
      <c r="E25" s="12" t="inlineStr">
        <is>
          <t>Documentation</t>
        </is>
      </c>
      <c r="F25" s="12" t="inlineStr">
        <is>
          <t>documentation, developer-experience</t>
        </is>
      </c>
      <c r="G25" s="12" t="inlineStr">
        <is>
          <t>tomas-r</t>
        </is>
      </c>
      <c r="H25" s="14" t="n">
        <v>46063</v>
      </c>
      <c r="I25" s="14" t="n">
        <v>46065</v>
      </c>
      <c r="J25" s="14" t="n">
        <v>46065</v>
      </c>
      <c r="K25" s="15" t="inlineStr">
        <is>
          <t>https://github.com/contoso-commerce/storefront-api/issues/121</t>
        </is>
      </c>
      <c r="L25" s="12" t="inlineStr">
        <is>
          <t>Background</t>
        </is>
      </c>
    </row>
  </sheetData>
  <hyperlinks>
    <hyperlink xmlns:r="http://schemas.openxmlformats.org/officeDocument/2006/relationships" ref="K5" r:id="rId1"/>
    <hyperlink xmlns:r="http://schemas.openxmlformats.org/officeDocument/2006/relationships" ref="K6" r:id="rId2"/>
    <hyperlink xmlns:r="http://schemas.openxmlformats.org/officeDocument/2006/relationships" ref="K7" r:id="rId3"/>
    <hyperlink xmlns:r="http://schemas.openxmlformats.org/officeDocument/2006/relationships" ref="K8" r:id="rId4"/>
    <hyperlink xmlns:r="http://schemas.openxmlformats.org/officeDocument/2006/relationships" ref="K9" r:id="rId5"/>
    <hyperlink xmlns:r="http://schemas.openxmlformats.org/officeDocument/2006/relationships" ref="K10" r:id="rId6"/>
    <hyperlink xmlns:r="http://schemas.openxmlformats.org/officeDocument/2006/relationships" ref="K11" r:id="rId7"/>
    <hyperlink xmlns:r="http://schemas.openxmlformats.org/officeDocument/2006/relationships" ref="K12" r:id="rId8"/>
    <hyperlink xmlns:r="http://schemas.openxmlformats.org/officeDocument/2006/relationships" ref="K13" r:id="rId9"/>
    <hyperlink xmlns:r="http://schemas.openxmlformats.org/officeDocument/2006/relationships" ref="K14" r:id="rId10"/>
    <hyperlink xmlns:r="http://schemas.openxmlformats.org/officeDocument/2006/relationships" ref="K15" r:id="rId11"/>
    <hyperlink xmlns:r="http://schemas.openxmlformats.org/officeDocument/2006/relationships" ref="K16" r:id="rId12"/>
    <hyperlink xmlns:r="http://schemas.openxmlformats.org/officeDocument/2006/relationships" ref="K17" r:id="rId13"/>
    <hyperlink xmlns:r="http://schemas.openxmlformats.org/officeDocument/2006/relationships" ref="K18" r:id="rId14"/>
    <hyperlink xmlns:r="http://schemas.openxmlformats.org/officeDocument/2006/relationships" ref="K19" r:id="rId15"/>
    <hyperlink xmlns:r="http://schemas.openxmlformats.org/officeDocument/2006/relationships" ref="K20" r:id="rId16"/>
    <hyperlink xmlns:r="http://schemas.openxmlformats.org/officeDocument/2006/relationships" ref="K21" r:id="rId17"/>
    <hyperlink xmlns:r="http://schemas.openxmlformats.org/officeDocument/2006/relationships" ref="K22" r:id="rId18"/>
    <hyperlink xmlns:r="http://schemas.openxmlformats.org/officeDocument/2006/relationships" ref="K23" r:id="rId19"/>
    <hyperlink xmlns:r="http://schemas.openxmlformats.org/officeDocument/2006/relationships" ref="K24" r:id="rId20"/>
    <hyperlink xmlns:r="http://schemas.openxmlformats.org/officeDocument/2006/relationships" ref="K25" r:id="rId21"/>
  </hyperlinks>
  <pageMargins left="0.75" right="0.75" top="1" bottom="1" header="0.5" footer="0.5"/>
  <pageSetup orientation="landscape" fitToHeight="0" fitToWidth="1"/>
  <tableParts count="1">
    <tablePart xmlns:r="http://schemas.openxmlformats.org/officeDocument/2006/relationships" r:id="rId22"/>
  </tableParts>
</worksheet>
</file>

<file path=xl/worksheets/sheet3.xml><?xml version="1.0" encoding="utf-8"?>
<worksheet xmlns="http://schemas.openxmlformats.org/spreadsheetml/2006/main">
  <sheetPr>
    <tabColor rgb="002F5597"/>
    <outlinePr summaryBelow="1" summaryRight="1"/>
    <pageSetUpPr fitToPage="1"/>
  </sheetPr>
  <dimension ref="A1:H18"/>
  <sheetViews>
    <sheetView workbookViewId="0">
      <pane ySplit="4" topLeftCell="A5" activePane="bottomLeft" state="frozen"/>
      <selection pane="bottomLeft" activeCell="A1" sqref="A1"/>
    </sheetView>
  </sheetViews>
  <sheetFormatPr baseColWidth="8" defaultRowHeight="15"/>
  <cols>
    <col width="9" customWidth="1" min="1" max="1"/>
    <col width="13" customWidth="1" min="2" max="2"/>
    <col width="20" customWidth="1" min="3" max="3"/>
    <col width="14" customWidth="1" min="4" max="4"/>
    <col width="46" customWidth="1" min="5" max="5"/>
    <col width="56" customWidth="1" min="6" max="6"/>
    <col width="16" customWidth="1" min="7" max="7"/>
    <col width="26" customWidth="1" min="8" max="8"/>
  </cols>
  <sheetData>
    <row r="1" ht="26" customHeight="1">
      <c r="A1" s="1" t="inlineStr">
        <is>
          <t>Issue Update History</t>
        </is>
      </c>
    </row>
    <row r="2">
      <c r="A2" s="2" t="inlineStr">
        <is>
          <t>Change log for the sample issues. The connector indexes current title, description, status, and labels only. Comments and history are not indexed.</t>
        </is>
      </c>
    </row>
    <row r="4" ht="30" customHeight="1">
      <c r="A4" s="10" t="inlineStr">
        <is>
          <t>Issue #</t>
        </is>
      </c>
      <c r="B4" s="10" t="inlineStr">
        <is>
          <t>Change Date</t>
        </is>
      </c>
      <c r="C4" s="10" t="inlineStr">
        <is>
          <t>Change Type</t>
        </is>
      </c>
      <c r="D4" s="10" t="inlineStr">
        <is>
          <t>Field</t>
        </is>
      </c>
      <c r="E4" s="10" t="inlineStr">
        <is>
          <t>Previous Value</t>
        </is>
      </c>
      <c r="F4" s="10" t="inlineStr">
        <is>
          <t>New Value</t>
        </is>
      </c>
      <c r="G4" s="10" t="inlineStr">
        <is>
          <t>Changed By</t>
        </is>
      </c>
      <c r="H4" s="10" t="inlineStr">
        <is>
          <t>Indexed by Connector?</t>
        </is>
      </c>
    </row>
    <row r="5" ht="19.5" customHeight="1">
      <c r="A5" s="11" t="n">
        <v>101</v>
      </c>
      <c r="B5" s="14" t="n">
        <v>46078</v>
      </c>
      <c r="C5" s="12" t="inlineStr">
        <is>
          <t>Label added</t>
        </is>
      </c>
      <c r="D5" s="12" t="inlineStr">
        <is>
          <t>Labels</t>
        </is>
      </c>
      <c r="E5" s="12" t="inlineStr">
        <is>
          <t>(none)</t>
        </is>
      </c>
      <c r="F5" s="12" t="inlineStr">
        <is>
          <t>priority-high</t>
        </is>
      </c>
      <c r="G5" s="12" t="inlineStr">
        <is>
          <t>mchen-dev</t>
        </is>
      </c>
      <c r="H5" s="12" t="inlineStr">
        <is>
          <t>Yes</t>
        </is>
      </c>
    </row>
    <row r="6" ht="19.5" customHeight="1">
      <c r="A6" s="11" t="n">
        <v>101</v>
      </c>
      <c r="B6" s="14" t="n">
        <v>46085</v>
      </c>
      <c r="C6" s="12" t="inlineStr">
        <is>
          <t>Status changed</t>
        </is>
      </c>
      <c r="D6" s="12" t="inlineStr">
        <is>
          <t>Status</t>
        </is>
      </c>
      <c r="E6" s="12" t="inlineStr">
        <is>
          <t>open</t>
        </is>
      </c>
      <c r="F6" s="12" t="inlineStr">
        <is>
          <t>closed</t>
        </is>
      </c>
      <c r="G6" s="12" t="inlineStr">
        <is>
          <t>dana-kwon</t>
        </is>
      </c>
      <c r="H6" s="12" t="inlineStr">
        <is>
          <t>Yes</t>
        </is>
      </c>
    </row>
    <row r="7" ht="33" customHeight="1">
      <c r="A7" s="11" t="n">
        <v>102</v>
      </c>
      <c r="B7" s="14" t="n">
        <v>46297</v>
      </c>
      <c r="C7" s="12" t="inlineStr">
        <is>
          <t>Description updated</t>
        </is>
      </c>
      <c r="D7" s="12" t="inlineStr">
        <is>
          <t>Description</t>
        </is>
      </c>
      <c r="E7" s="12" t="inlineStr">
        <is>
          <t>Reproduced on Windows; root cause unknown.</t>
        </is>
      </c>
      <c r="F7" s="12" t="inlineStr">
        <is>
          <t>Reproduced on Windows and macOS. Root cause: default encoding in the export writer.</t>
        </is>
      </c>
      <c r="G7" s="12" t="inlineStr">
        <is>
          <t>ravi-s</t>
        </is>
      </c>
      <c r="H7" s="12" t="inlineStr">
        <is>
          <t>Yes</t>
        </is>
      </c>
    </row>
    <row r="8" ht="19.5" customHeight="1">
      <c r="A8" s="11" t="n">
        <v>103</v>
      </c>
      <c r="B8" s="14" t="n">
        <v>46154</v>
      </c>
      <c r="C8" s="12" t="inlineStr">
        <is>
          <t>Status changed</t>
        </is>
      </c>
      <c r="D8" s="12" t="inlineStr">
        <is>
          <t>Status</t>
        </is>
      </c>
      <c r="E8" s="12" t="inlineStr">
        <is>
          <t>open</t>
        </is>
      </c>
      <c r="F8" s="12" t="inlineStr">
        <is>
          <t>closed</t>
        </is>
      </c>
      <c r="G8" s="12" t="inlineStr">
        <is>
          <t>lena-fischer</t>
        </is>
      </c>
      <c r="H8" s="12" t="inlineStr">
        <is>
          <t>Yes</t>
        </is>
      </c>
    </row>
    <row r="9" ht="33" customHeight="1">
      <c r="A9" s="11" t="n">
        <v>105</v>
      </c>
      <c r="B9" s="14" t="n">
        <v>46303</v>
      </c>
      <c r="C9" s="12" t="inlineStr">
        <is>
          <t>Comment added</t>
        </is>
      </c>
      <c r="D9" s="12" t="inlineStr">
        <is>
          <t>Comments</t>
        </is>
      </c>
      <c r="E9" s="12" t="inlineStr">
        <is>
          <t>(none)</t>
        </is>
      </c>
      <c r="F9" s="12" t="inlineStr">
        <is>
          <t>Reproduced on Chrome 129 and Safari 18. Badge also stale after clearing the cart from the mini-cart.</t>
        </is>
      </c>
      <c r="G9" s="12" t="inlineStr">
        <is>
          <t>tomas-r</t>
        </is>
      </c>
      <c r="H9" s="12" t="inlineStr">
        <is>
          <t>No - comments are not indexed</t>
        </is>
      </c>
    </row>
    <row r="10" ht="19.5" customHeight="1">
      <c r="A10" s="11" t="n">
        <v>107</v>
      </c>
      <c r="B10" s="14" t="n">
        <v>46225</v>
      </c>
      <c r="C10" s="12" t="inlineStr">
        <is>
          <t>Label changed</t>
        </is>
      </c>
      <c r="D10" s="12" t="inlineStr">
        <is>
          <t>Labels</t>
        </is>
      </c>
      <c r="E10" s="12" t="inlineStr">
        <is>
          <t>priority-low</t>
        </is>
      </c>
      <c r="F10" s="12" t="inlineStr">
        <is>
          <t>priority-medium</t>
        </is>
      </c>
      <c r="G10" s="12" t="inlineStr">
        <is>
          <t>mchen-dev</t>
        </is>
      </c>
      <c r="H10" s="12" t="inlineStr">
        <is>
          <t>Yes</t>
        </is>
      </c>
    </row>
    <row r="11" ht="46.5" customHeight="1">
      <c r="A11" s="11" t="n">
        <v>107</v>
      </c>
      <c r="B11" s="14" t="n">
        <v>46304</v>
      </c>
      <c r="C11" s="12" t="inlineStr">
        <is>
          <t>Description updated</t>
        </is>
      </c>
      <c r="D11" s="12" t="inlineStr">
        <is>
          <t>Description</t>
        </is>
      </c>
      <c r="E11" s="12" t="inlineStr">
        <is>
          <t>...cancel them in one action.</t>
        </is>
      </c>
      <c r="F11" s="12" t="inlineStr">
        <is>
          <t>...cancel them in one action, with a required reason code from a fixed list. Each cancelled order must create an audit log entry.</t>
        </is>
      </c>
      <c r="G11" s="12" t="inlineStr">
        <is>
          <t>mchen-dev</t>
        </is>
      </c>
      <c r="H11" s="12" t="inlineStr">
        <is>
          <t>Yes</t>
        </is>
      </c>
    </row>
    <row r="12" ht="19.5" customHeight="1">
      <c r="A12" s="11" t="n">
        <v>109</v>
      </c>
      <c r="B12" s="14" t="n">
        <v>46114</v>
      </c>
      <c r="C12" s="12" t="inlineStr">
        <is>
          <t>Status changed</t>
        </is>
      </c>
      <c r="D12" s="12" t="inlineStr">
        <is>
          <t>Status</t>
        </is>
      </c>
      <c r="E12" s="12" t="inlineStr">
        <is>
          <t>open</t>
        </is>
      </c>
      <c r="F12" s="12" t="inlineStr">
        <is>
          <t>closed (shipped in 2.4.0)</t>
        </is>
      </c>
      <c r="G12" s="12" t="inlineStr">
        <is>
          <t>sam-whitfield</t>
        </is>
      </c>
      <c r="H12" s="12" t="inlineStr">
        <is>
          <t>Yes</t>
        </is>
      </c>
    </row>
    <row r="13" ht="19.5" customHeight="1">
      <c r="A13" s="11" t="n">
        <v>113</v>
      </c>
      <c r="B13" s="14" t="n">
        <v>46305</v>
      </c>
      <c r="C13" s="12" t="inlineStr">
        <is>
          <t>Opened</t>
        </is>
      </c>
      <c r="D13" s="12" t="inlineStr">
        <is>
          <t>Status</t>
        </is>
      </c>
      <c r="E13" s="12" t="inlineStr">
        <is>
          <t>(new issue)</t>
        </is>
      </c>
      <c r="F13" s="12" t="inlineStr">
        <is>
          <t>open</t>
        </is>
      </c>
      <c r="G13" s="12" t="inlineStr">
        <is>
          <t>mchen-dev</t>
        </is>
      </c>
      <c r="H13" s="12" t="inlineStr">
        <is>
          <t>Yes</t>
        </is>
      </c>
    </row>
    <row r="14" ht="19.5" customHeight="1">
      <c r="A14" s="11" t="n">
        <v>113</v>
      </c>
      <c r="B14" s="14" t="n">
        <v>46306</v>
      </c>
      <c r="C14" s="12" t="inlineStr">
        <is>
          <t>Description updated</t>
        </is>
      </c>
      <c r="D14" s="12" t="inlineStr">
        <is>
          <t>Description</t>
        </is>
      </c>
      <c r="E14" s="12" t="inlineStr">
        <is>
          <t>Rotation required.</t>
        </is>
      </c>
      <c r="F14" s="12" t="inlineStr">
        <is>
          <t>Key revoked; rotation and log redaction pending.</t>
        </is>
      </c>
      <c r="G14" s="12" t="inlineStr">
        <is>
          <t>mchen-dev</t>
        </is>
      </c>
      <c r="H14" s="12" t="inlineStr">
        <is>
          <t>Yes</t>
        </is>
      </c>
    </row>
    <row r="15" ht="19.5" customHeight="1">
      <c r="A15" s="11" t="n">
        <v>113</v>
      </c>
      <c r="B15" s="14" t="n">
        <v>46306</v>
      </c>
      <c r="C15" s="12" t="inlineStr">
        <is>
          <t>Label added</t>
        </is>
      </c>
      <c r="D15" s="12" t="inlineStr">
        <is>
          <t>Labels</t>
        </is>
      </c>
      <c r="E15" s="12" t="inlineStr">
        <is>
          <t>security, ops</t>
        </is>
      </c>
      <c r="F15" s="12" t="inlineStr">
        <is>
          <t>security, severity-critical, ops</t>
        </is>
      </c>
      <c r="G15" s="12" t="inlineStr">
        <is>
          <t>mchen-dev</t>
        </is>
      </c>
      <c r="H15" s="12" t="inlineStr">
        <is>
          <t>Yes</t>
        </is>
      </c>
    </row>
    <row r="16" ht="33" customHeight="1">
      <c r="A16" s="11" t="n">
        <v>116</v>
      </c>
      <c r="B16" s="14" t="n">
        <v>46264</v>
      </c>
      <c r="C16" s="12" t="inlineStr">
        <is>
          <t>Title changed</t>
        </is>
      </c>
      <c r="D16" s="12" t="inlineStr">
        <is>
          <t>Title</t>
        </is>
      </c>
      <c r="E16" s="12" t="inlineStr">
        <is>
          <t>Order history page slow for heavy accounts</t>
        </is>
      </c>
      <c r="F16" s="12" t="inlineStr">
        <is>
          <t>Order history page takes over 6 seconds for accounts with more than 5,000 orders</t>
        </is>
      </c>
      <c r="G16" s="12" t="inlineStr">
        <is>
          <t>priyanka-m</t>
        </is>
      </c>
      <c r="H16" s="12" t="inlineStr">
        <is>
          <t>Yes</t>
        </is>
      </c>
    </row>
    <row r="17" ht="19.5" customHeight="1">
      <c r="A17" s="11" t="n">
        <v>116</v>
      </c>
      <c r="B17" s="14" t="n">
        <v>46283</v>
      </c>
      <c r="C17" s="12" t="inlineStr">
        <is>
          <t>Comment added</t>
        </is>
      </c>
      <c r="D17" s="12" t="inlineStr">
        <is>
          <t>Comments</t>
        </is>
      </c>
      <c r="E17" s="12" t="inlineStr">
        <is>
          <t>(none)</t>
        </is>
      </c>
      <c r="F17" s="12" t="inlineStr">
        <is>
          <t>Profiling shows the line-item join is the hot path.</t>
        </is>
      </c>
      <c r="G17" s="12" t="inlineStr">
        <is>
          <t>ben-okafor</t>
        </is>
      </c>
      <c r="H17" s="12" t="inlineStr">
        <is>
          <t>No - comments are not indexed</t>
        </is>
      </c>
    </row>
    <row r="18" ht="33" customHeight="1">
      <c r="A18" s="11" t="n">
        <v>118</v>
      </c>
      <c r="B18" s="14" t="n">
        <v>46301</v>
      </c>
      <c r="C18" s="12" t="inlineStr">
        <is>
          <t>Comment added</t>
        </is>
      </c>
      <c r="D18" s="12" t="inlineStr">
        <is>
          <t>Comments</t>
        </is>
      </c>
      <c r="E18" s="12" t="inlineStr">
        <is>
          <t>(none)</t>
        </is>
      </c>
      <c r="F18" s="12" t="inlineStr">
        <is>
          <t>Premium tier benchmark: incremental reindex 19 min, full rebuild 34 min.</t>
        </is>
      </c>
      <c r="G18" s="12" t="inlineStr">
        <is>
          <t>aisha-k</t>
        </is>
      </c>
      <c r="H18" s="12" t="inlineStr">
        <is>
          <t>No - comments are not indexed</t>
        </is>
      </c>
    </row>
  </sheetData>
  <pageMargins left="0.75" right="0.75" top="1" bottom="1" header="0.5" footer="0.5"/>
  <pageSetup orientation="landscape"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548235"/>
    <outlinePr summaryBelow="1" summaryRight="1"/>
    <pageSetUpPr fitToPage="1"/>
  </sheetPr>
  <dimension ref="A1:G2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22" customWidth="1" min="3" max="3"/>
    <col width="58" customWidth="1" min="4" max="4"/>
    <col width="40" customWidth="1" min="5" max="5"/>
    <col width="62" customWidth="1" min="6" max="6"/>
    <col width="18" customWidth="1" min="7" max="7"/>
  </cols>
  <sheetData>
    <row r="1" ht="26" customHeight="1">
      <c r="A1" s="1" t="inlineStr">
        <is>
          <t>Demo Scenarios and Sample Copilot Prompts</t>
        </is>
      </c>
    </row>
    <row r="2">
      <c r="A2" s="2" t="inlineStr">
        <is>
          <t>Run after the sample issues exist in the connected repository and the connector has synced. Prompts are sample wording; results may vary slightly in phrasing.</t>
        </is>
      </c>
    </row>
    <row r="4" ht="30" customHeight="1">
      <c r="A4" s="10" t="inlineStr">
        <is>
          <t>ID</t>
        </is>
      </c>
      <c r="B4" s="10" t="inlineStr">
        <is>
          <t>Scenario</t>
        </is>
      </c>
      <c r="C4" s="10" t="inlineStr">
        <is>
          <t>Coverage</t>
        </is>
      </c>
      <c r="D4" s="10" t="inlineStr">
        <is>
          <t>Presenter Steps</t>
        </is>
      </c>
      <c r="E4" s="10" t="inlineStr">
        <is>
          <t>Sample Copilot Prompt</t>
        </is>
      </c>
      <c r="F4" s="10" t="inlineStr">
        <is>
          <t>Expected Result</t>
        </is>
      </c>
      <c r="G4" s="10" t="inlineStr">
        <is>
          <t>Related Issues</t>
        </is>
      </c>
    </row>
    <row r="5" ht="46.5" customHeight="1">
      <c r="A5" s="11" t="inlineStr">
        <is>
          <t>DS-01</t>
        </is>
      </c>
      <c r="B5" s="12" t="inlineStr">
        <is>
          <t>Bug fix lookup</t>
        </is>
      </c>
      <c r="C5" s="12" t="inlineStr">
        <is>
          <t>Bug fixes (closed)</t>
        </is>
      </c>
      <c r="D5" s="12" t="inlineStr">
        <is>
          <t>1. Open Microsoft 365 Copilot Chat.
2. Ask the sample prompt.
3. Point out the Closed status and the root-cause explanation.</t>
        </is>
      </c>
      <c r="E5" s="12" t="inlineStr">
        <is>
          <t>What bug was fixed in the checkout tax calculation, and what was the root cause?</t>
        </is>
      </c>
      <c r="F5" s="12" t="inlineStr">
        <is>
          <t>Copilot returns #101, Closed. It explains that tax was calculated on the pre-discount subtotal ($120.00) instead of the discounted subtotal ($102.00), and links to the GitHub issue.</t>
        </is>
      </c>
      <c r="G5" s="12" t="inlineStr">
        <is>
          <t>#101</t>
        </is>
      </c>
    </row>
    <row r="6" ht="46.5" customHeight="1">
      <c r="A6" s="11" t="inlineStr">
        <is>
          <t>DS-02</t>
        </is>
      </c>
      <c r="B6" s="12" t="inlineStr">
        <is>
          <t>Open bug search</t>
        </is>
      </c>
      <c r="C6" s="12" t="inlineStr">
        <is>
          <t>Bug fixes (open)</t>
        </is>
      </c>
      <c r="D6" s="12" t="inlineStr">
        <is>
          <t>1. Ask the sample prompt.
2. Confirm the answer shows Open status and the reproduction details.</t>
        </is>
      </c>
      <c r="E6" s="12" t="inlineStr">
        <is>
          <t>Show me open bugs about CSV exports.</t>
        </is>
      </c>
      <c r="F6" s="12" t="inlineStr">
        <is>
          <t>#102 'Export to CSV truncates product names with non-ASCII characters' appears with Open status, the bug label, and the root cause (default encoding in the export writer).</t>
        </is>
      </c>
      <c r="G6" s="12" t="inlineStr">
        <is>
          <t>#102</t>
        </is>
      </c>
    </row>
    <row r="7" ht="46.5" customHeight="1">
      <c r="A7" s="11" t="inlineStr">
        <is>
          <t>DS-03</t>
        </is>
      </c>
      <c r="B7" s="12" t="inlineStr">
        <is>
          <t>Feature request search</t>
        </is>
      </c>
      <c r="C7" s="12" t="inlineStr">
        <is>
          <t>Feature requests (open)</t>
        </is>
      </c>
      <c r="D7" s="12" t="inlineStr">
        <is>
          <t>1. Ask the sample prompt.
2. Highlight the required reason code and audit requirement in the answer.</t>
        </is>
      </c>
      <c r="E7" s="12" t="inlineStr">
        <is>
          <t>What feature requests are open for the admin console?</t>
        </is>
      </c>
      <c r="F7" s="12" t="inlineStr">
        <is>
          <t>#107 'Add bulk cancel for pending orders in the admin console' is the top match, Open, with the reason code and audit log requirements. #108 (merchant dashboard dark mode) may appear as a weaker match.</t>
        </is>
      </c>
      <c r="G7" s="12" t="inlineStr">
        <is>
          <t>#107 (#108 optional)</t>
        </is>
      </c>
    </row>
    <row r="8" ht="60" customHeight="1">
      <c r="A8" s="11" t="inlineStr">
        <is>
          <t>DS-04</t>
        </is>
      </c>
      <c r="B8" s="12" t="inlineStr">
        <is>
          <t>Critical security triage</t>
        </is>
      </c>
      <c r="C8" s="12" t="inlineStr">
        <is>
          <t>Security (open)</t>
        </is>
      </c>
      <c r="D8" s="12" t="inlineStr">
        <is>
          <t>1. Ask the sample prompt.
2. Show that the critical item is ranked first.</t>
        </is>
      </c>
      <c r="E8" s="12" t="inlineStr">
        <is>
          <t>Are there any open critical security issues in the storefront repository?</t>
        </is>
      </c>
      <c r="F8" s="12" t="inlineStr">
        <is>
          <t>#113 (severity-critical, Open): staging payment sandbox key found in CI logs, key revoked, rotation and log redaction pending. #114 (medium) may be listed as another open security item. No closed issues should appear as open.</t>
        </is>
      </c>
      <c r="G8" s="12" t="inlineStr">
        <is>
          <t>#113, #114</t>
        </is>
      </c>
    </row>
    <row r="9" ht="46.5" customHeight="1">
      <c r="A9" s="11" t="inlineStr">
        <is>
          <t>DS-05</t>
        </is>
      </c>
      <c r="B9" s="12" t="inlineStr">
        <is>
          <t>Closed security fix</t>
        </is>
      </c>
      <c r="C9" s="12" t="inlineStr">
        <is>
          <t>Security (closed)</t>
        </is>
      </c>
      <c r="D9" s="12" t="inlineStr">
        <is>
          <t>1. Ask the sample prompt.
2. Confirm the closed date and the absence of exploitation evidence.</t>
        </is>
      </c>
      <c r="E9" s="12" t="inlineStr">
        <is>
          <t>Was the stored XSS in product reviews fixed, and when was it closed?</t>
        </is>
      </c>
      <c r="F9" s="12" t="inlineStr">
        <is>
          <t>#112 is Closed on 2026-03-20. The sanitizer was upgraded with regression tests, and access logs show no evidence of exploitation.</t>
        </is>
      </c>
      <c r="G9" s="12" t="inlineStr">
        <is>
          <t>#112</t>
        </is>
      </c>
    </row>
    <row r="10" ht="46.5" customHeight="1">
      <c r="A10" s="11" t="inlineStr">
        <is>
          <t>DS-06</t>
        </is>
      </c>
      <c r="B10" s="12" t="inlineStr">
        <is>
          <t>Open performance work</t>
        </is>
      </c>
      <c r="C10" s="12" t="inlineStr">
        <is>
          <t>Performance (open)</t>
        </is>
      </c>
      <c r="D10" s="12" t="inlineStr">
        <is>
          <t>1. Ask the sample prompt.
2. Confirm that closed performance issues (#117, #119) are not listed as open.</t>
        </is>
      </c>
      <c r="E10" s="12" t="inlineStr">
        <is>
          <t>Which performance issues are still open?</t>
        </is>
      </c>
      <c r="F10" s="12" t="inlineStr">
        <is>
          <t>#116 (order history p95 about 6.2 seconds for accounts with more than 5,000 orders) and #118 (full search reindex about 34 minutes) are returned as Open.</t>
        </is>
      </c>
      <c r="G10" s="12" t="inlineStr">
        <is>
          <t>#116, #118</t>
        </is>
      </c>
    </row>
    <row r="11" ht="46.5" customHeight="1">
      <c r="A11" s="11" t="inlineStr">
        <is>
          <t>DS-07</t>
        </is>
      </c>
      <c r="B11" s="12" t="inlineStr">
        <is>
          <t>Natural-language root cause</t>
        </is>
      </c>
      <c r="C11" s="12" t="inlineStr">
        <is>
          <t>Performance (closed) + natural language</t>
        </is>
      </c>
      <c r="D11" s="12" t="inlineStr">
        <is>
          <t>1. Ask the sample prompt in plain English; do not use issue numbers.
2. Show how the answer is drawn from the issue description.</t>
        </is>
      </c>
      <c r="E11" s="12" t="inlineStr">
        <is>
          <t>Why did the nightly inventory sync get so much faster?</t>
        </is>
      </c>
      <c r="F11" s="12" t="inlineStr">
        <is>
          <t>#117 is Closed on 2026-04-24. Supplier-price lookups were batched from one query per SKU into 500-SKU chunks, and runtime fell from 74 minutes to 11 minutes in staging.</t>
        </is>
      </c>
      <c r="G11" s="12" t="inlineStr">
        <is>
          <t>#117</t>
        </is>
      </c>
    </row>
    <row r="12" ht="46.5" customHeight="1">
      <c r="A12" s="11" t="inlineStr">
        <is>
          <t>DS-08</t>
        </is>
      </c>
      <c r="B12" s="12" t="inlineStr">
        <is>
          <t>Status and date filter</t>
        </is>
      </c>
      <c r="C12" s="12" t="inlineStr">
        <is>
          <t>Open/closed and dates</t>
        </is>
      </c>
      <c r="D12" s="12" t="inlineStr">
        <is>
          <t>1. Ask the sample prompt.
2. Check that every returned item is Closed and dated in April 2026.</t>
        </is>
      </c>
      <c r="E12" s="12" t="inlineStr">
        <is>
          <t>List the issues closed in April 2026.</t>
        </is>
      </c>
      <c r="F12" s="12" t="inlineStr">
        <is>
          <t>#109 (closed 2026-04-02, webhook retries shipped in 2.4.0), #119 (closed 2026-04-09, CDN cache headers), and #117 (closed 2026-04-24, inventory sync batching).</t>
        </is>
      </c>
      <c r="G12" s="12" t="inlineStr">
        <is>
          <t>#109, #117, #119</t>
        </is>
      </c>
    </row>
    <row r="13" ht="33" customHeight="1">
      <c r="A13" s="11" t="inlineStr">
        <is>
          <t>DS-09</t>
        </is>
      </c>
      <c r="B13" s="12" t="inlineStr">
        <is>
          <t>Label filter</t>
        </is>
      </c>
      <c r="C13" s="12" t="inlineStr">
        <is>
          <t>Labels (open)</t>
        </is>
      </c>
      <c r="D13" s="12" t="inlineStr">
        <is>
          <t>1. Ask the sample prompt.
2. Confirm both results carry the good-first-issue label.</t>
        </is>
      </c>
      <c r="E13" s="12" t="inlineStr">
        <is>
          <t>Which open issues are good first issues for new contributors?</t>
        </is>
      </c>
      <c r="F13" s="12" t="inlineStr">
        <is>
          <t>#105 (cart badge bug) and #120 (webhook signature documentation), both Open with the good-first-issue label.</t>
        </is>
      </c>
      <c r="G13" s="12" t="inlineStr">
        <is>
          <t>#105, #120</t>
        </is>
      </c>
    </row>
    <row r="14" ht="100.5" customHeight="1">
      <c r="A14" s="11" t="inlineStr">
        <is>
          <t>DS-10</t>
        </is>
      </c>
      <c r="B14" s="12" t="inlineStr">
        <is>
          <t>Live update: description edit</t>
        </is>
      </c>
      <c r="C14" s="12" t="inlineStr">
        <is>
          <t>Issue updates (live)</t>
        </is>
      </c>
      <c r="D14" s="12" t="inlineStr">
        <is>
          <t>Before the demo:
1. Edit issue #114 on GitHub and add to the description: 'Update (Oct 13): rate limit approved, implementation planned for sprint 42.'
2. Run: python github_issues_connector.py all
3. Wait for the index to refresh (this can take several minutes).
4. Ask the sample prompt.</t>
        </is>
      </c>
      <c r="E14" s="12" t="inlineStr">
        <is>
          <t>Has the password reset rate limit been approved?</t>
        </is>
      </c>
      <c r="F14" s="12" t="inlineStr">
        <is>
          <t>After the re-sync, Copilot references the approval note and the planned sprint. Before the re-sync, the answer reflects only the original proposal.</t>
        </is>
      </c>
      <c r="G14" s="12" t="inlineStr">
        <is>
          <t>#114</t>
        </is>
      </c>
    </row>
    <row r="15" ht="73.5" customHeight="1">
      <c r="A15" s="11" t="inlineStr">
        <is>
          <t>DS-11</t>
        </is>
      </c>
      <c r="B15" s="12" t="inlineStr">
        <is>
          <t>Live update: status change</t>
        </is>
      </c>
      <c r="C15" s="12" t="inlineStr">
        <is>
          <t>Issue updates (live)</t>
        </is>
      </c>
      <c r="D15" s="12" t="inlineStr">
        <is>
          <t>Before the demo:
1. Close issue #105 on GitHub.
2. Run: python github_issues_connector.py all
3. Wait for the index to refresh.
4. Ask the sample prompt.</t>
        </is>
      </c>
      <c r="E15" s="12" t="inlineStr">
        <is>
          <t>Is the cart badge bug still open?</t>
        </is>
      </c>
      <c r="F15" s="12" t="inlineStr">
        <is>
          <t>Copilot reports #105 as Closed after the re-sync. The closing comment is not indexed; the status change is.</t>
        </is>
      </c>
      <c r="G15" s="12" t="inlineStr">
        <is>
          <t>#105</t>
        </is>
      </c>
    </row>
    <row r="16" ht="33" customHeight="1">
      <c r="A16" s="11" t="inlineStr">
        <is>
          <t>DS-12</t>
        </is>
      </c>
      <c r="B16" s="12" t="inlineStr">
        <is>
          <t>Author search</t>
        </is>
      </c>
      <c r="C16" s="12" t="inlineStr">
        <is>
          <t>People and activity</t>
        </is>
      </c>
      <c r="D16" s="12" t="inlineStr">
        <is>
          <t>1. Ask the sample prompt.
2. Confirm both issues are attributed to priyanka-m.</t>
        </is>
      </c>
      <c r="E16" s="12" t="inlineStr">
        <is>
          <t>What issues has priyanka-m opened?</t>
        </is>
      </c>
      <c r="F16" s="12" t="inlineStr">
        <is>
          <t>#104 (Newfoundland email time zone, closed 2026-06-19) and #116 (order history performance, open).</t>
        </is>
      </c>
      <c r="G16" s="12" t="inlineStr">
        <is>
          <t>#104, #116</t>
        </is>
      </c>
    </row>
    <row r="17" ht="46.5" customHeight="1">
      <c r="A17" s="11" t="inlineStr">
        <is>
          <t>DS-13</t>
        </is>
      </c>
      <c r="B17" s="12" t="inlineStr">
        <is>
          <t>Symptom search</t>
        </is>
      </c>
      <c r="C17" s="12" t="inlineStr">
        <is>
          <t>Bug fixes (closed) + natural language</t>
        </is>
      </c>
      <c r="D17" s="12" t="inlineStr">
        <is>
          <t>1. Ask the sample prompt using a symptom, not an issue title.
2. Show the cause and fix in the answer.</t>
        </is>
      </c>
      <c r="E17" s="12" t="inlineStr">
        <is>
          <t>Has anyone reported login problems on Safari?</t>
        </is>
      </c>
      <c r="F17" s="12" t="inlineStr">
        <is>
          <t>#103 (Closed 2026-05-12): after token refresh on Safari 17, the browser looped to /login. Cause: SameSite=Strict cookie not sent on the cross-site redirect; changed to SameSite=Lax.</t>
        </is>
      </c>
      <c r="G17" s="12" t="inlineStr">
        <is>
          <t>#103</t>
        </is>
      </c>
    </row>
    <row r="18" ht="46.5" customHeight="1">
      <c r="A18" s="11" t="inlineStr">
        <is>
          <t>DS-14</t>
        </is>
      </c>
      <c r="B18" s="12" t="inlineStr">
        <is>
          <t>Link retrieval</t>
        </is>
      </c>
      <c r="C18" s="12" t="inlineStr">
        <is>
          <t>Navigation</t>
        </is>
      </c>
      <c r="D18" s="12" t="inlineStr">
        <is>
          <t>1. Ask the sample prompt.
2. Open the returned link to confirm it goes to the issue.</t>
        </is>
      </c>
      <c r="E18" s="12" t="inlineStr">
        <is>
          <t>Give me the link to the webhook retry feature request.</t>
        </is>
      </c>
      <c r="F18" s="12" t="inlineStr">
        <is>
          <t>#109 'Add webhook delivery retries with exponential backoff' with its GitHub URL (https://github.com/contoso-commerce/storefront-api/issues/109). Status is Closed; shipped in 2.4.0.</t>
        </is>
      </c>
      <c r="G18" s="12" t="inlineStr">
        <is>
          <t>#109</t>
        </is>
      </c>
    </row>
    <row r="19" ht="46.5" customHeight="1">
      <c r="A19" s="11" t="inlineStr">
        <is>
          <t>DS-15</t>
        </is>
      </c>
      <c r="B19" s="12" t="inlineStr">
        <is>
          <t>No-match guard</t>
        </is>
      </c>
      <c r="C19" s="12" t="inlineStr">
        <is>
          <t>Negative test</t>
        </is>
      </c>
      <c r="D19" s="12" t="inlineStr">
        <is>
          <t>1. Ask the sample prompt.
2. Confirm the answer does not invent issues.</t>
        </is>
      </c>
      <c r="E19" s="12" t="inlineStr">
        <is>
          <t>Are there any issues about migrating to Kubernetes?</t>
        </is>
      </c>
      <c r="F19" s="12" t="inlineStr">
        <is>
          <t>Copilot states that no matching issues were found in the connected repository. It should not invent issues or present unrelated results as matches.</t>
        </is>
      </c>
      <c r="G19" s="12" t="inlineStr">
        <is>
          <t>None</t>
        </is>
      </c>
    </row>
    <row r="20" ht="46.5" customHeight="1">
      <c r="A20" s="11" t="inlineStr">
        <is>
          <t>DS-16</t>
        </is>
      </c>
      <c r="B20" s="12" t="inlineStr">
        <is>
          <t>Security summary</t>
        </is>
      </c>
      <c r="C20" s="12" t="inlineStr">
        <is>
          <t>Summary across issues</t>
        </is>
      </c>
      <c r="D20" s="12" t="inlineStr">
        <is>
          <t>1. Ask the sample prompt.
2. Check that the closed and open lists match the Issues sheet.</t>
        </is>
      </c>
      <c r="E20" s="12" t="inlineStr">
        <is>
          <t>Summarize the security issues in this repository: what is closed and what is still open?</t>
        </is>
      </c>
      <c r="F20" s="12" t="inlineStr">
        <is>
          <t>Closed: #112 (stored XSS fix, 2026-03-20) and #115 (lodash upgrade, 2026-05-03). Open: #113 (critical key exposure, opened 2026-10-10) and #114 (password reset rate limit, medium).</t>
        </is>
      </c>
      <c r="G20" s="12" t="inlineStr">
        <is>
          <t>#112, #113, #114, #115</t>
        </is>
      </c>
    </row>
  </sheetData>
  <pageMargins left="0.75" right="0.75" top="1" bottom="1"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2026-10-13T10:12:38Z</dcterms:created>
  <dcterms:modified xsi:type="dcterms:W3CDTF">2026-10-13T10:12:38Z</dcterms:modified>
</cp:coreProperties>
</file>